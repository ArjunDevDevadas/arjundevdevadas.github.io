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fety Equipment Tracker" sheetId="1" state="visible" r:id="rId3"/>
    <sheet name="PO Tracker" sheetId="2" state="visible" r:id="rId4"/>
    <sheet name="Ops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<sst xmlns="http://schemas.openxmlformats.org/spreadsheetml/2006/main" count="196" uniqueCount="147">
  <si>
    <t xml:space="preserve">SAFETY EQUIPMENT CERTIFICATION TRACKER</t>
  </si>
  <si>
    <t xml:space="preserve">Proactive Recertification &amp; Calibration Management  |  Updated: April 2026</t>
  </si>
  <si>
    <t xml:space="preserve">#</t>
  </si>
  <si>
    <t xml:space="preserve">Equipment Name</t>
  </si>
  <si>
    <t xml:space="preserve">Product No.</t>
  </si>
  <si>
    <t xml:space="preserve">Batch / Serial No.</t>
  </si>
  <si>
    <t xml:space="preserve">Category</t>
  </si>
  <si>
    <t xml:space="preserve">Location</t>
  </si>
  <si>
    <t xml:space="preserve">Last Certified</t>
  </si>
  <si>
    <t xml:space="preserve">Certification Expiry</t>
  </si>
  <si>
    <t xml:space="preserve">Days Until Expiry</t>
  </si>
  <si>
    <t xml:space="preserve">Status</t>
  </si>
  <si>
    <t xml:space="preserve">Action Required</t>
  </si>
  <si>
    <t xml:space="preserve">H2S Personal Detector</t>
  </si>
  <si>
    <t xml:space="preserve">DET-H2S-001</t>
  </si>
  <si>
    <t xml:space="preserve">BT2024-001</t>
  </si>
  <si>
    <t xml:space="preserve">Gas Detector</t>
  </si>
  <si>
    <t xml:space="preserve">Field Unit A</t>
  </si>
  <si>
    <t xml:space="preserve">DET-H2S-002</t>
  </si>
  <si>
    <t xml:space="preserve">BT2024-002</t>
  </si>
  <si>
    <t xml:space="preserve">Multi-Gas Detector</t>
  </si>
  <si>
    <t xml:space="preserve">DET-MG-001</t>
  </si>
  <si>
    <t xml:space="preserve">BT2024-010</t>
  </si>
  <si>
    <t xml:space="preserve">Base Store</t>
  </si>
  <si>
    <t xml:space="preserve">Fire Extinguisher 9kg</t>
  </si>
  <si>
    <t xml:space="preserve">EXT-9KG-001</t>
  </si>
  <si>
    <t xml:space="preserve">FX2023-101</t>
  </si>
  <si>
    <t xml:space="preserve">Fire Safety</t>
  </si>
  <si>
    <t xml:space="preserve">Field Unit B</t>
  </si>
  <si>
    <t xml:space="preserve">EXT-9KG-002</t>
  </si>
  <si>
    <t xml:space="preserve">FX2023-102</t>
  </si>
  <si>
    <t xml:space="preserve">Fire Extinguisher 4.5kg</t>
  </si>
  <si>
    <t xml:space="preserve">EXT-45-001</t>
  </si>
  <si>
    <t xml:space="preserve">FX2024-201</t>
  </si>
  <si>
    <t xml:space="preserve">Office</t>
  </si>
  <si>
    <t xml:space="preserve">Portable Gas Monitor</t>
  </si>
  <si>
    <t xml:space="preserve">MON-PGM-001</t>
  </si>
  <si>
    <t xml:space="preserve">PM2024-055</t>
  </si>
  <si>
    <t xml:space="preserve">Field Unit C</t>
  </si>
  <si>
    <t xml:space="preserve">Fall Arrest Harness</t>
  </si>
  <si>
    <t xml:space="preserve">HAR-FA-001</t>
  </si>
  <si>
    <t xml:space="preserve">HA2024-301</t>
  </si>
  <si>
    <t xml:space="preserve">Fall Protection</t>
  </si>
  <si>
    <t xml:space="preserve">Warehouse</t>
  </si>
  <si>
    <t xml:space="preserve">Self-Contained Breathing App.</t>
  </si>
  <si>
    <t xml:space="preserve">SCBA-001</t>
  </si>
  <si>
    <t xml:space="preserve">SC2023-401</t>
  </si>
  <si>
    <t xml:space="preserve">Breathing Apparatus</t>
  </si>
  <si>
    <t xml:space="preserve">Emergency Store</t>
  </si>
  <si>
    <t xml:space="preserve">Calibration Gas Cylinder</t>
  </si>
  <si>
    <t xml:space="preserve">CAL-GAS-001</t>
  </si>
  <si>
    <t xml:space="preserve">CG2025-001</t>
  </si>
  <si>
    <t xml:space="preserve">Calibration Supply</t>
  </si>
  <si>
    <t xml:space="preserve">Lab</t>
  </si>
  <si>
    <t xml:space="preserve">Radiation Dosimeter</t>
  </si>
  <si>
    <t xml:space="preserve">RAD-DOS-001</t>
  </si>
  <si>
    <t xml:space="preserve">RD2024-501</t>
  </si>
  <si>
    <t xml:space="preserve">Radiation Safety</t>
  </si>
  <si>
    <t xml:space="preserve">Ear Protection (Bulk Set)</t>
  </si>
  <si>
    <t xml:space="preserve">PPE-EAR-001</t>
  </si>
  <si>
    <t xml:space="preserve">EP2025-601</t>
  </si>
  <si>
    <t xml:space="preserve">PPE</t>
  </si>
  <si>
    <t xml:space="preserve">SUMMARY DASHBOARD</t>
  </si>
  <si>
    <t xml:space="preserve">Total Equipment Items</t>
  </si>
  <si>
    <t xml:space="preserve">Valid (Green)</t>
  </si>
  <si>
    <t xml:space="preserve">Due Soon (90 days)</t>
  </si>
  <si>
    <t xml:space="preserve">Expiring Soon (30 days)</t>
  </si>
  <si>
    <t xml:space="preserve">Expired</t>
  </si>
  <si>
    <t xml:space="preserve">PROCUREMENT PURCHASE ORDER TRACKER — FY 2026</t>
  </si>
  <si>
    <t xml:space="preserve">Operations &amp; Logistics Division  |  Base: Fort McMurray  |  Currency: CAD</t>
  </si>
  <si>
    <t xml:space="preserve">PO Number</t>
  </si>
  <si>
    <t xml:space="preserve">Vendor Name</t>
  </si>
  <si>
    <t xml:space="preserve">Description</t>
  </si>
  <si>
    <t xml:space="preserve">Date Raised</t>
  </si>
  <si>
    <t xml:space="preserve">Date Required</t>
  </si>
  <si>
    <t xml:space="preserve">PO Value (CAD)</t>
  </si>
  <si>
    <t xml:space="preserve">GRN Completed</t>
  </si>
  <si>
    <t xml:space="preserve">Invoice Received</t>
  </si>
  <si>
    <t xml:space="preserve">Days Open</t>
  </si>
  <si>
    <t xml:space="preserve">Notes</t>
  </si>
  <si>
    <t xml:space="preserve">PO-2026-001</t>
  </si>
  <si>
    <t xml:space="preserve">Northern Safety Supplies Ltd.</t>
  </si>
  <si>
    <t xml:space="preserve">PPE Bulk Order — Q1 Restock</t>
  </si>
  <si>
    <t xml:space="preserve">Safety</t>
  </si>
  <si>
    <t xml:space="preserve">Closed</t>
  </si>
  <si>
    <t xml:space="preserve">Yes</t>
  </si>
  <si>
    <t xml:space="preserve">PO-2026-002</t>
  </si>
  <si>
    <t xml:space="preserve">Calibration Services Alberta</t>
  </si>
  <si>
    <t xml:space="preserve">H2S Detector Calibration x6</t>
  </si>
  <si>
    <t xml:space="preserve">Maintenance</t>
  </si>
  <si>
    <t xml:space="preserve">PO-2026-003</t>
  </si>
  <si>
    <t xml:space="preserve">MacLean Industrial Parts</t>
  </si>
  <si>
    <t xml:space="preserve">Valve Spare Parts — Ball Valves</t>
  </si>
  <si>
    <t xml:space="preserve">Spare Parts</t>
  </si>
  <si>
    <t xml:space="preserve">PO-2026-004</t>
  </si>
  <si>
    <t xml:space="preserve">Praxair Canada Inc.</t>
  </si>
  <si>
    <t xml:space="preserve">Calibration Gas Cylinders x4</t>
  </si>
  <si>
    <t xml:space="preserve">Lab Supplies</t>
  </si>
  <si>
    <t xml:space="preserve">PO-2026-005</t>
  </si>
  <si>
    <t xml:space="preserve">Wolseley Industrial</t>
  </si>
  <si>
    <t xml:space="preserve">Pipe Fittings &amp; Flanges</t>
  </si>
  <si>
    <t xml:space="preserve">No</t>
  </si>
  <si>
    <t xml:space="preserve">PO-2026-006</t>
  </si>
  <si>
    <t xml:space="preserve">3M Canada</t>
  </si>
  <si>
    <t xml:space="preserve">Respiratory PPE Restock</t>
  </si>
  <si>
    <t xml:space="preserve">PO-2026-007</t>
  </si>
  <si>
    <t xml:space="preserve">ASCO Valve Canada</t>
  </si>
  <si>
    <t xml:space="preserve">ESD Solenoid Valves x3</t>
  </si>
  <si>
    <t xml:space="preserve">GRN Pending</t>
  </si>
  <si>
    <t xml:space="preserve">PO-2026-008</t>
  </si>
  <si>
    <t xml:space="preserve">Grainger Industrial Supply</t>
  </si>
  <si>
    <t xml:space="preserve">Warehouse Shelving Units</t>
  </si>
  <si>
    <t xml:space="preserve">Facility</t>
  </si>
  <si>
    <t xml:space="preserve">In Transit</t>
  </si>
  <si>
    <t xml:space="preserve">PO-2026-009</t>
  </si>
  <si>
    <t xml:space="preserve">Clean Harbors Canada</t>
  </si>
  <si>
    <t xml:space="preserve">Hazardous Waste Disposal</t>
  </si>
  <si>
    <t xml:space="preserve">Compliance</t>
  </si>
  <si>
    <t xml:space="preserve">Approved</t>
  </si>
  <si>
    <t xml:space="preserve">PO-2026-010</t>
  </si>
  <si>
    <t xml:space="preserve">Wesco Electrical</t>
  </si>
  <si>
    <t xml:space="preserve">Electrical Components — ESD Repair</t>
  </si>
  <si>
    <t xml:space="preserve">Pending Approval</t>
  </si>
  <si>
    <t xml:space="preserve">PO-2026-011</t>
  </si>
  <si>
    <t xml:space="preserve">Summer PPE Restock</t>
  </si>
  <si>
    <t xml:space="preserve">PO-2026-012</t>
  </si>
  <si>
    <t xml:space="preserve">Swagelok Alberta</t>
  </si>
  <si>
    <t xml:space="preserve">Instrumentation Fittings</t>
  </si>
  <si>
    <t xml:space="preserve">Draft</t>
  </si>
  <si>
    <t xml:space="preserve">TOTAL PO VALUE (ALL)</t>
  </si>
  <si>
    <t xml:space="preserve">MONTHLY OPERATIONS DASHBOARD — Q1 2026</t>
  </si>
  <si>
    <t xml:space="preserve">Key Performance Indicators  |  Fort McMurray Operations  |  Jan – Mar 2026</t>
  </si>
  <si>
    <t xml:space="preserve">KPI</t>
  </si>
  <si>
    <t xml:space="preserve">Jan 2026</t>
  </si>
  <si>
    <t xml:space="preserve">Feb 2026</t>
  </si>
  <si>
    <t xml:space="preserve">Mar 2026</t>
  </si>
  <si>
    <t xml:space="preserve">Q1 Total</t>
  </si>
  <si>
    <t xml:space="preserve">Target</t>
  </si>
  <si>
    <t xml:space="preserve">Variance</t>
  </si>
  <si>
    <t xml:space="preserve">POs Raised</t>
  </si>
  <si>
    <t xml:space="preserve">POs Closed</t>
  </si>
  <si>
    <t xml:space="preserve">PO Value (CAD $000s)</t>
  </si>
  <si>
    <t xml:space="preserve">Safety Incidents</t>
  </si>
  <si>
    <t xml:space="preserve">Equipment Items Tracked</t>
  </si>
  <si>
    <t xml:space="preserve">Certifications Renewed</t>
  </si>
  <si>
    <t xml:space="preserve">Vendor POs on Time (%)</t>
  </si>
  <si>
    <t xml:space="preserve">Journey Plans Submitted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</si>
</sst>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0"/>
    <numFmt numFmtId="167" formatCode="General"/>
    <numFmt numFmtId="168" formatCode="\$#,##0.00"/>
    <numFmt numFmtId="169" formatCode="\$#,##0.0"/>
    <numFmt numFmtId="170" formatCode="0.0\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1B7A4A"/>
      <name val="Arial"/>
      <family val="0"/>
      <charset val="1"/>
    </font>
    <font>
      <b val="true"/>
      <sz val="10"/>
      <color rgb="FFB56D00"/>
      <name val="Arial"/>
      <family val="0"/>
      <charset val="1"/>
    </font>
    <font>
      <b val="true"/>
      <sz val="10"/>
      <color rgb="FF1E4D8C"/>
      <name val="Arial"/>
      <family val="0"/>
      <charset val="1"/>
    </font>
    <font>
      <b val="true"/>
      <sz val="10"/>
      <color rgb="FF555F6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D1B2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1A2E42"/>
      </patternFill>
    </fill>
    <fill>
      <patternFill patternType="solid">
        <fgColor rgb="FF1A2E42"/>
        <bgColor rgb="FF0D1B2A"/>
      </patternFill>
    </fill>
    <fill>
      <patternFill patternType="solid">
        <fgColor rgb="FF1E4D8C"/>
        <bgColor rgb="FF003366"/>
      </patternFill>
    </fill>
    <fill>
      <patternFill patternType="solid">
        <fgColor rgb="FFF4F6FA"/>
        <bgColor rgb="FFEEEEEE"/>
      </patternFill>
    </fill>
    <fill>
      <patternFill patternType="solid">
        <fgColor rgb="FFFFFFFF"/>
        <bgColor rgb="FFF4F6FA"/>
      </patternFill>
    </fill>
    <fill>
      <patternFill patternType="solid">
        <fgColor rgb="FFD4EDDA"/>
        <bgColor rgb="FFD6E4F7"/>
      </patternFill>
    </fill>
    <fill>
      <patternFill patternType="solid">
        <fgColor rgb="FFFFF3CD"/>
        <bgColor rgb="FFEEEEEE"/>
      </patternFill>
    </fill>
    <fill>
      <patternFill patternType="solid">
        <fgColor rgb="FFD6E4F7"/>
        <bgColor rgb="FFD4EDDA"/>
      </patternFill>
    </fill>
    <fill>
      <patternFill patternType="solid">
        <fgColor rgb="FFEEEEEE"/>
        <bgColor rgb="FFF4F6FA"/>
      </patternFill>
    </fill>
    <fill>
      <patternFill patternType="solid">
        <fgColor rgb="FFA8C8F0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D00"/>
      <rgbColor rgb="FF800080"/>
      <rgbColor rgb="FF1B7A4A"/>
      <rgbColor rgb="FFCCCCCC"/>
      <rgbColor rgb="FF808080"/>
      <rgbColor rgb="FF9999FF"/>
      <rgbColor rgb="FF993366"/>
      <rgbColor rgb="FFFFF3CD"/>
      <rgbColor rgb="FFF4F6FA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4EDDA"/>
      <rgbColor rgb="FFFFFF99"/>
      <rgbColor rgb="FFA8C8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F6E"/>
      <rgbColor rgb="FFAAAAAA"/>
      <rgbColor rgb="FF003366"/>
      <rgbColor rgb="FF339966"/>
      <rgbColor rgb="FF0D1B2A"/>
      <rgbColor rgb="FF333300"/>
      <rgbColor rgb="FF993300"/>
      <rgbColor rgb="FF993366"/>
      <rgbColor rgb="FF1E4D8C"/>
      <rgbColor rgb="FF1A2E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10" min="9" style="1" width="16"/>
    <col collapsed="false" customWidth="true" hidden="false" outlineLevel="0" max="11" min="11" style="1" width="34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15" hidden="false" customHeight="true" outlineLevel="0" collapsed="false">
      <c r="A4" s="5" t="n">
        <v>1</v>
      </c>
      <c r="B4" s="6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8" t="n">
        <v>45945</v>
      </c>
      <c r="H4" s="8" t="n">
        <v>46310</v>
      </c>
      <c r="I4" s="9" t="n">
        <f aca="true">H4-TODAY()</f>
        <v>186</v>
      </c>
      <c r="J4" s="10" t="str">
        <f aca="false">IF(I4&lt;0,"EXPIRED",IF(I4&lt;=30,"EXPIRING SOON",IF(I4&lt;=90,"DUE SOON","VALID")))</f>
        <v>VALID</v>
      </c>
      <c r="K4" s="11" t="str">
        <f aca="false">IF(I4&lt;0,"Schedule recertification immediately",IF(I4&lt;=30,"Initiate recertification now",IF(I4&lt;=90,"Plan recertification","No action required")))</f>
        <v>No action required</v>
      </c>
    </row>
    <row r="5" customFormat="false" ht="15" hidden="false" customHeight="true" outlineLevel="0" collapsed="false">
      <c r="A5" s="12" t="n">
        <v>2</v>
      </c>
      <c r="B5" s="13" t="s">
        <v>13</v>
      </c>
      <c r="C5" s="14" t="s">
        <v>18</v>
      </c>
      <c r="D5" s="14" t="s">
        <v>19</v>
      </c>
      <c r="E5" s="14" t="s">
        <v>16</v>
      </c>
      <c r="F5" s="14" t="s">
        <v>17</v>
      </c>
      <c r="G5" s="15" t="n">
        <v>45945</v>
      </c>
      <c r="H5" s="15" t="n">
        <v>46310</v>
      </c>
      <c r="I5" s="16" t="n">
        <f aca="true">H5-TODAY()</f>
        <v>186</v>
      </c>
      <c r="J5" s="10" t="str">
        <f aca="false">IF(I5&lt;0,"EXPIRED",IF(I5&lt;=30,"EXPIRING SOON",IF(I5&lt;=90,"DUE SOON","VALID")))</f>
        <v>VALID</v>
      </c>
      <c r="K5" s="11" t="str">
        <f aca="false">IF(I5&lt;0,"Schedule recertification immediately",IF(I5&lt;=30,"Initiate recertification now",IF(I5&lt;=90,"Plan recertification","No action required")))</f>
        <v>No action required</v>
      </c>
    </row>
    <row r="6" customFormat="false" ht="15" hidden="false" customHeight="true" outlineLevel="0" collapsed="false">
      <c r="A6" s="5" t="n">
        <v>3</v>
      </c>
      <c r="B6" s="6" t="s">
        <v>20</v>
      </c>
      <c r="C6" s="7" t="s">
        <v>21</v>
      </c>
      <c r="D6" s="7" t="s">
        <v>22</v>
      </c>
      <c r="E6" s="7" t="s">
        <v>16</v>
      </c>
      <c r="F6" s="7" t="s">
        <v>23</v>
      </c>
      <c r="G6" s="8" t="n">
        <v>45901</v>
      </c>
      <c r="H6" s="8" t="n">
        <v>46082</v>
      </c>
      <c r="I6" s="9" t="n">
        <f aca="true">H6-TODAY()</f>
        <v>-42</v>
      </c>
      <c r="J6" s="10" t="str">
        <f aca="false">IF(I6&lt;0,"EXPIRED",IF(I6&lt;=30,"EXPIRING SOON",IF(I6&lt;=90,"DUE SOON","VALID")))</f>
        <v>EXPIRED</v>
      </c>
      <c r="K6" s="11" t="str">
        <f aca="false">IF(I6&lt;0,"Schedule recertification immediately",IF(I6&lt;=30,"Initiate recertification now",IF(I6&lt;=90,"Plan recertification","No action required")))</f>
        <v>Schedule recertification immediately</v>
      </c>
    </row>
    <row r="7" customFormat="false" ht="15" hidden="false" customHeight="true" outlineLevel="0" collapsed="false">
      <c r="A7" s="12" t="n">
        <v>4</v>
      </c>
      <c r="B7" s="13" t="s">
        <v>24</v>
      </c>
      <c r="C7" s="14" t="s">
        <v>25</v>
      </c>
      <c r="D7" s="14" t="s">
        <v>26</v>
      </c>
      <c r="E7" s="14" t="s">
        <v>27</v>
      </c>
      <c r="F7" s="14" t="s">
        <v>28</v>
      </c>
      <c r="G7" s="15" t="n">
        <v>45627</v>
      </c>
      <c r="H7" s="15" t="n">
        <v>46357</v>
      </c>
      <c r="I7" s="16" t="n">
        <f aca="true">H7-TODAY()</f>
        <v>233</v>
      </c>
      <c r="J7" s="10" t="str">
        <f aca="false">IF(I7&lt;0,"EXPIRED",IF(I7&lt;=30,"EXPIRING SOON",IF(I7&lt;=90,"DUE SOON","VALID")))</f>
        <v>VALID</v>
      </c>
      <c r="K7" s="11" t="str">
        <f aca="false">IF(I7&lt;0,"Schedule recertification immediately",IF(I7&lt;=30,"Initiate recertification now",IF(I7&lt;=90,"Plan recertification","No action required")))</f>
        <v>No action required</v>
      </c>
    </row>
    <row r="8" customFormat="false" ht="15" hidden="false" customHeight="true" outlineLevel="0" collapsed="false">
      <c r="A8" s="5" t="n">
        <v>5</v>
      </c>
      <c r="B8" s="6" t="s">
        <v>24</v>
      </c>
      <c r="C8" s="7" t="s">
        <v>29</v>
      </c>
      <c r="D8" s="7" t="s">
        <v>30</v>
      </c>
      <c r="E8" s="7" t="s">
        <v>27</v>
      </c>
      <c r="F8" s="7" t="s">
        <v>23</v>
      </c>
      <c r="G8" s="8" t="n">
        <v>45627</v>
      </c>
      <c r="H8" s="8" t="n">
        <v>46357</v>
      </c>
      <c r="I8" s="9" t="n">
        <f aca="true">H8-TODAY()</f>
        <v>233</v>
      </c>
      <c r="J8" s="10" t="str">
        <f aca="false">IF(I8&lt;0,"EXPIRED",IF(I8&lt;=30,"EXPIRING SOON",IF(I8&lt;=90,"DUE SOON","VALID")))</f>
        <v>VALID</v>
      </c>
      <c r="K8" s="11" t="str">
        <f aca="false">IF(I8&lt;0,"Schedule recertification immediately",IF(I8&lt;=30,"Initiate recertification now",IF(I8&lt;=90,"Plan recertification","No action required")))</f>
        <v>No action required</v>
      </c>
    </row>
    <row r="9" customFormat="false" ht="15" hidden="false" customHeight="true" outlineLevel="0" collapsed="false">
      <c r="A9" s="12" t="n">
        <v>6</v>
      </c>
      <c r="B9" s="13" t="s">
        <v>31</v>
      </c>
      <c r="C9" s="14" t="s">
        <v>32</v>
      </c>
      <c r="D9" s="14" t="s">
        <v>33</v>
      </c>
      <c r="E9" s="14" t="s">
        <v>27</v>
      </c>
      <c r="F9" s="14" t="s">
        <v>34</v>
      </c>
      <c r="G9" s="15" t="n">
        <v>45731</v>
      </c>
      <c r="H9" s="15" t="n">
        <v>46096</v>
      </c>
      <c r="I9" s="16" t="n">
        <f aca="true">H9-TODAY()</f>
        <v>-28</v>
      </c>
      <c r="J9" s="10" t="str">
        <f aca="false">IF(I9&lt;0,"EXPIRED",IF(I9&lt;=30,"EXPIRING SOON",IF(I9&lt;=90,"DUE SOON","VALID")))</f>
        <v>EXPIRED</v>
      </c>
      <c r="K9" s="11" t="str">
        <f aca="false">IF(I9&lt;0,"Schedule recertification immediately",IF(I9&lt;=30,"Initiate recertification now",IF(I9&lt;=90,"Plan recertification","No action required")))</f>
        <v>Schedule recertification immediately</v>
      </c>
    </row>
    <row r="10" customFormat="false" ht="15" hidden="false" customHeight="true" outlineLevel="0" collapsed="false">
      <c r="A10" s="5" t="n">
        <v>7</v>
      </c>
      <c r="B10" s="6" t="s">
        <v>35</v>
      </c>
      <c r="C10" s="7" t="s">
        <v>36</v>
      </c>
      <c r="D10" s="7" t="s">
        <v>37</v>
      </c>
      <c r="E10" s="7" t="s">
        <v>16</v>
      </c>
      <c r="F10" s="7" t="s">
        <v>38</v>
      </c>
      <c r="G10" s="8" t="n">
        <v>45981</v>
      </c>
      <c r="H10" s="8" t="n">
        <v>46162</v>
      </c>
      <c r="I10" s="9" t="n">
        <f aca="true">H10-TODAY()</f>
        <v>38</v>
      </c>
      <c r="J10" s="10" t="str">
        <f aca="false">IF(I10&lt;0,"EXPIRED",IF(I10&lt;=30,"EXPIRING SOON",IF(I10&lt;=90,"DUE SOON","VALID")))</f>
        <v>DUE SOON</v>
      </c>
      <c r="K10" s="11" t="str">
        <f aca="false">IF(I10&lt;0,"Schedule recertification immediately",IF(I10&lt;=30,"Initiate recertification now",IF(I10&lt;=90,"Plan recertification","No action required")))</f>
        <v>Plan recertification</v>
      </c>
    </row>
    <row r="11" customFormat="false" ht="15" hidden="false" customHeight="true" outlineLevel="0" collapsed="false">
      <c r="A11" s="12" t="n">
        <v>8</v>
      </c>
      <c r="B11" s="13" t="s">
        <v>39</v>
      </c>
      <c r="C11" s="14" t="s">
        <v>40</v>
      </c>
      <c r="D11" s="14" t="s">
        <v>41</v>
      </c>
      <c r="E11" s="14" t="s">
        <v>42</v>
      </c>
      <c r="F11" s="14" t="s">
        <v>43</v>
      </c>
      <c r="G11" s="15" t="n">
        <v>45848</v>
      </c>
      <c r="H11" s="15" t="n">
        <v>46213</v>
      </c>
      <c r="I11" s="16" t="n">
        <f aca="true">H11-TODAY()</f>
        <v>89</v>
      </c>
      <c r="J11" s="10" t="str">
        <f aca="false">IF(I11&lt;0,"EXPIRED",IF(I11&lt;=30,"EXPIRING SOON",IF(I11&lt;=90,"DUE SOON","VALID")))</f>
        <v>DUE SOON</v>
      </c>
      <c r="K11" s="11" t="str">
        <f aca="false">IF(I11&lt;0,"Schedule recertification immediately",IF(I11&lt;=30,"Initiate recertification now",IF(I11&lt;=90,"Plan recertification","No action required")))</f>
        <v>Plan recertification</v>
      </c>
    </row>
    <row r="12" customFormat="false" ht="15" hidden="false" customHeight="true" outlineLevel="0" collapsed="false">
      <c r="A12" s="5" t="n">
        <v>9</v>
      </c>
      <c r="B12" s="6" t="s">
        <v>44</v>
      </c>
      <c r="C12" s="7" t="s">
        <v>45</v>
      </c>
      <c r="D12" s="7" t="s">
        <v>46</v>
      </c>
      <c r="E12" s="7" t="s">
        <v>47</v>
      </c>
      <c r="F12" s="7" t="s">
        <v>48</v>
      </c>
      <c r="G12" s="8" t="n">
        <v>45444</v>
      </c>
      <c r="H12" s="8" t="n">
        <v>46174</v>
      </c>
      <c r="I12" s="9" t="n">
        <f aca="true">H12-TODAY()</f>
        <v>50</v>
      </c>
      <c r="J12" s="10" t="str">
        <f aca="false">IF(I12&lt;0,"EXPIRED",IF(I12&lt;=30,"EXPIRING SOON",IF(I12&lt;=90,"DUE SOON","VALID")))</f>
        <v>DUE SOON</v>
      </c>
      <c r="K12" s="11" t="str">
        <f aca="false">IF(I12&lt;0,"Schedule recertification immediately",IF(I12&lt;=30,"Initiate recertification now",IF(I12&lt;=90,"Plan recertification","No action required")))</f>
        <v>Plan recertification</v>
      </c>
    </row>
    <row r="13" customFormat="false" ht="15" hidden="false" customHeight="true" outlineLevel="0" collapsed="false">
      <c r="A13" s="12" t="n">
        <v>10</v>
      </c>
      <c r="B13" s="13" t="s">
        <v>49</v>
      </c>
      <c r="C13" s="14" t="s">
        <v>50</v>
      </c>
      <c r="D13" s="14" t="s">
        <v>51</v>
      </c>
      <c r="E13" s="14" t="s">
        <v>52</v>
      </c>
      <c r="F13" s="14" t="s">
        <v>53</v>
      </c>
      <c r="G13" s="15" t="n">
        <v>45992</v>
      </c>
      <c r="H13" s="15" t="n">
        <v>46174</v>
      </c>
      <c r="I13" s="16" t="n">
        <f aca="true">H13-TODAY()</f>
        <v>50</v>
      </c>
      <c r="J13" s="10" t="str">
        <f aca="false">IF(I13&lt;0,"EXPIRED",IF(I13&lt;=30,"EXPIRING SOON",IF(I13&lt;=90,"DUE SOON","VALID")))</f>
        <v>DUE SOON</v>
      </c>
      <c r="K13" s="11" t="str">
        <f aca="false">IF(I13&lt;0,"Schedule recertification immediately",IF(I13&lt;=30,"Initiate recertification now",IF(I13&lt;=90,"Plan recertification","No action required")))</f>
        <v>Plan recertification</v>
      </c>
    </row>
    <row r="14" customFormat="false" ht="15" hidden="false" customHeight="true" outlineLevel="0" collapsed="false">
      <c r="A14" s="5" t="n">
        <v>11</v>
      </c>
      <c r="B14" s="6" t="s">
        <v>54</v>
      </c>
      <c r="C14" s="7" t="s">
        <v>55</v>
      </c>
      <c r="D14" s="7" t="s">
        <v>56</v>
      </c>
      <c r="E14" s="7" t="s">
        <v>57</v>
      </c>
      <c r="F14" s="7" t="s">
        <v>17</v>
      </c>
      <c r="G14" s="8" t="n">
        <v>45884</v>
      </c>
      <c r="H14" s="8" t="n">
        <v>46249</v>
      </c>
      <c r="I14" s="9" t="n">
        <f aca="true">H14-TODAY()</f>
        <v>125</v>
      </c>
      <c r="J14" s="10" t="str">
        <f aca="false">IF(I14&lt;0,"EXPIRED",IF(I14&lt;=30,"EXPIRING SOON",IF(I14&lt;=90,"DUE SOON","VALID")))</f>
        <v>VALID</v>
      </c>
      <c r="K14" s="11" t="str">
        <f aca="false">IF(I14&lt;0,"Schedule recertification immediately",IF(I14&lt;=30,"Initiate recertification now",IF(I14&lt;=90,"Plan recertification","No action required")))</f>
        <v>No action required</v>
      </c>
    </row>
    <row r="15" customFormat="false" ht="15" hidden="false" customHeight="true" outlineLevel="0" collapsed="false">
      <c r="A15" s="12" t="n">
        <v>12</v>
      </c>
      <c r="B15" s="13" t="s">
        <v>58</v>
      </c>
      <c r="C15" s="14" t="s">
        <v>59</v>
      </c>
      <c r="D15" s="14" t="s">
        <v>60</v>
      </c>
      <c r="E15" s="14" t="s">
        <v>61</v>
      </c>
      <c r="F15" s="14" t="s">
        <v>23</v>
      </c>
      <c r="G15" s="15" t="n">
        <v>45658</v>
      </c>
      <c r="H15" s="15" t="n">
        <v>46388</v>
      </c>
      <c r="I15" s="16" t="n">
        <f aca="true">H15-TODAY()</f>
        <v>264</v>
      </c>
      <c r="J15" s="10" t="str">
        <f aca="false">IF(I15&lt;0,"EXPIRED",IF(I15&lt;=30,"EXPIRING SOON",IF(I15&lt;=90,"DUE SOON","VALID")))</f>
        <v>VALID</v>
      </c>
      <c r="K15" s="11" t="str">
        <f aca="false">IF(I15&lt;0,"Schedule recertification immediately",IF(I15&lt;=30,"Initiate recertification now",IF(I15&lt;=90,"Plan recertification","No action required")))</f>
        <v>No action required</v>
      </c>
    </row>
    <row r="17" customFormat="false" ht="21.75" hidden="false" customHeight="true" outlineLevel="0" collapsed="false">
      <c r="A17" s="17" t="s">
        <v>62</v>
      </c>
      <c r="B17" s="17"/>
      <c r="C17" s="17"/>
    </row>
    <row r="18" customFormat="false" ht="15" hidden="false" customHeight="true" outlineLevel="0" collapsed="false">
      <c r="A18" s="6" t="s">
        <v>63</v>
      </c>
      <c r="B18" s="18" t="n">
        <f aca="false">COUNTA(B4:B15)</f>
        <v>12</v>
      </c>
      <c r="C18" s="19"/>
    </row>
    <row r="19" customFormat="false" ht="15" hidden="false" customHeight="true" outlineLevel="0" collapsed="false">
      <c r="A19" s="6" t="s">
        <v>64</v>
      </c>
      <c r="B19" s="18" t="n">
        <f aca="false">COUNTIF(J4:J15,"VALID")</f>
        <v>6</v>
      </c>
      <c r="C19" s="19"/>
    </row>
    <row r="20" customFormat="false" ht="15" hidden="false" customHeight="true" outlineLevel="0" collapsed="false">
      <c r="A20" s="6" t="s">
        <v>65</v>
      </c>
      <c r="B20" s="18" t="n">
        <f aca="false">COUNTIF(J4:J15,"DUE SOON")</f>
        <v>4</v>
      </c>
      <c r="C20" s="19"/>
    </row>
    <row r="21" customFormat="false" ht="15" hidden="false" customHeight="true" outlineLevel="0" collapsed="false">
      <c r="A21" s="6" t="s">
        <v>66</v>
      </c>
      <c r="B21" s="18" t="n">
        <f aca="false">COUNTIF(J4:J15,"EXPIRING SOON")</f>
        <v>0</v>
      </c>
      <c r="C21" s="19"/>
    </row>
    <row r="22" customFormat="false" ht="15" hidden="false" customHeight="true" outlineLevel="0" collapsed="false">
      <c r="A22" s="6" t="s">
        <v>67</v>
      </c>
      <c r="B22" s="18" t="n">
        <f aca="false">COUNTIF(J4:J15,"EXPIRED")</f>
        <v>2</v>
      </c>
      <c r="C22" s="19"/>
    </row>
  </sheetData>
  <mergeCells count="3">
    <mergeCell ref="A1:K1"/>
    <mergeCell ref="A2:K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2"/>
    <col collapsed="false" customWidth="true" hidden="false" outlineLevel="0" max="12" min="12" style="1" width="20"/>
  </cols>
  <sheetData>
    <row r="1" customFormat="false" ht="37.5" hidden="false" customHeight="true" outlineLevel="0" collapsed="false">
      <c r="A1" s="20" t="s">
        <v>68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5.75" hidden="false" customHeight="true" outlineLevel="0" collapsed="false">
      <c r="A2" s="3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4" t="s">
        <v>70</v>
      </c>
      <c r="B3" s="4" t="s">
        <v>71</v>
      </c>
      <c r="C3" s="4" t="s">
        <v>72</v>
      </c>
      <c r="D3" s="4" t="s">
        <v>6</v>
      </c>
      <c r="E3" s="4" t="s">
        <v>73</v>
      </c>
      <c r="F3" s="4" t="s">
        <v>74</v>
      </c>
      <c r="G3" s="4" t="s">
        <v>75</v>
      </c>
      <c r="H3" s="4" t="s">
        <v>11</v>
      </c>
      <c r="I3" s="4" t="s">
        <v>76</v>
      </c>
      <c r="J3" s="4" t="s">
        <v>77</v>
      </c>
      <c r="K3" s="4" t="s">
        <v>78</v>
      </c>
      <c r="L3" s="4" t="s">
        <v>79</v>
      </c>
    </row>
    <row r="4" customFormat="false" ht="15" hidden="false" customHeight="true" outlineLevel="0" collapsed="false">
      <c r="A4" s="21" t="s">
        <v>80</v>
      </c>
      <c r="B4" s="22" t="s">
        <v>81</v>
      </c>
      <c r="C4" s="23" t="s">
        <v>82</v>
      </c>
      <c r="D4" s="21" t="s">
        <v>83</v>
      </c>
      <c r="E4" s="24" t="n">
        <v>46030</v>
      </c>
      <c r="F4" s="24" t="n">
        <v>46044</v>
      </c>
      <c r="G4" s="25" t="n">
        <v>4850</v>
      </c>
      <c r="H4" s="26" t="s">
        <v>84</v>
      </c>
      <c r="I4" s="21" t="s">
        <v>85</v>
      </c>
      <c r="J4" s="21" t="s">
        <v>85</v>
      </c>
      <c r="K4" s="27" t="n">
        <f aca="true">IF(H4="Closed",F4-E4,TODAY()-E4)</f>
        <v>14</v>
      </c>
      <c r="L4" s="28"/>
    </row>
    <row r="5" customFormat="false" ht="15" hidden="false" customHeight="true" outlineLevel="0" collapsed="false">
      <c r="A5" s="29" t="s">
        <v>86</v>
      </c>
      <c r="B5" s="30" t="s">
        <v>87</v>
      </c>
      <c r="C5" s="31" t="s">
        <v>88</v>
      </c>
      <c r="D5" s="29" t="s">
        <v>89</v>
      </c>
      <c r="E5" s="32" t="n">
        <v>46037</v>
      </c>
      <c r="F5" s="32" t="n">
        <v>46054</v>
      </c>
      <c r="G5" s="33" t="n">
        <v>2100</v>
      </c>
      <c r="H5" s="26" t="s">
        <v>84</v>
      </c>
      <c r="I5" s="29" t="s">
        <v>85</v>
      </c>
      <c r="J5" s="29" t="s">
        <v>85</v>
      </c>
      <c r="K5" s="34" t="n">
        <f aca="true">IF(H5="Closed",F5-E5,TODAY()-E5)</f>
        <v>17</v>
      </c>
      <c r="L5" s="35"/>
    </row>
    <row r="6" customFormat="false" ht="15" hidden="false" customHeight="true" outlineLevel="0" collapsed="false">
      <c r="A6" s="21" t="s">
        <v>90</v>
      </c>
      <c r="B6" s="22" t="s">
        <v>91</v>
      </c>
      <c r="C6" s="23" t="s">
        <v>92</v>
      </c>
      <c r="D6" s="21" t="s">
        <v>93</v>
      </c>
      <c r="E6" s="24" t="n">
        <v>46042</v>
      </c>
      <c r="F6" s="24" t="n">
        <v>46063</v>
      </c>
      <c r="G6" s="25" t="n">
        <v>7320</v>
      </c>
      <c r="H6" s="26" t="s">
        <v>84</v>
      </c>
      <c r="I6" s="21" t="s">
        <v>85</v>
      </c>
      <c r="J6" s="21" t="s">
        <v>85</v>
      </c>
      <c r="K6" s="27" t="n">
        <f aca="true">IF(H6="Closed",F6-E6,TODAY()-E6)</f>
        <v>21</v>
      </c>
      <c r="L6" s="28"/>
    </row>
    <row r="7" customFormat="false" ht="15" hidden="false" customHeight="true" outlineLevel="0" collapsed="false">
      <c r="A7" s="29" t="s">
        <v>94</v>
      </c>
      <c r="B7" s="30" t="s">
        <v>95</v>
      </c>
      <c r="C7" s="31" t="s">
        <v>96</v>
      </c>
      <c r="D7" s="29" t="s">
        <v>97</v>
      </c>
      <c r="E7" s="32" t="n">
        <v>46056</v>
      </c>
      <c r="F7" s="32" t="n">
        <v>46073</v>
      </c>
      <c r="G7" s="33" t="n">
        <v>980</v>
      </c>
      <c r="H7" s="26" t="s">
        <v>84</v>
      </c>
      <c r="I7" s="29" t="s">
        <v>85</v>
      </c>
      <c r="J7" s="29" t="s">
        <v>85</v>
      </c>
      <c r="K7" s="34" t="n">
        <f aca="true">IF(H7="Closed",F7-E7,TODAY()-E7)</f>
        <v>17</v>
      </c>
      <c r="L7" s="35"/>
    </row>
    <row r="8" customFormat="false" ht="15" hidden="false" customHeight="true" outlineLevel="0" collapsed="false">
      <c r="A8" s="21" t="s">
        <v>98</v>
      </c>
      <c r="B8" s="22" t="s">
        <v>99</v>
      </c>
      <c r="C8" s="23" t="s">
        <v>100</v>
      </c>
      <c r="D8" s="21" t="s">
        <v>93</v>
      </c>
      <c r="E8" s="24" t="n">
        <v>46063</v>
      </c>
      <c r="F8" s="24" t="n">
        <v>46082</v>
      </c>
      <c r="G8" s="25" t="n">
        <v>5640</v>
      </c>
      <c r="H8" s="26" t="s">
        <v>84</v>
      </c>
      <c r="I8" s="21" t="s">
        <v>85</v>
      </c>
      <c r="J8" s="21" t="s">
        <v>101</v>
      </c>
      <c r="K8" s="27" t="n">
        <f aca="true">IF(H8="Closed",F8-E8,TODAY()-E8)</f>
        <v>19</v>
      </c>
      <c r="L8" s="28"/>
    </row>
    <row r="9" customFormat="false" ht="15" hidden="false" customHeight="true" outlineLevel="0" collapsed="false">
      <c r="A9" s="29" t="s">
        <v>102</v>
      </c>
      <c r="B9" s="30" t="s">
        <v>103</v>
      </c>
      <c r="C9" s="31" t="s">
        <v>104</v>
      </c>
      <c r="D9" s="29" t="s">
        <v>83</v>
      </c>
      <c r="E9" s="32" t="n">
        <v>46071</v>
      </c>
      <c r="F9" s="32" t="n">
        <v>46086</v>
      </c>
      <c r="G9" s="33" t="n">
        <v>3210</v>
      </c>
      <c r="H9" s="26" t="s">
        <v>84</v>
      </c>
      <c r="I9" s="29" t="s">
        <v>85</v>
      </c>
      <c r="J9" s="29" t="s">
        <v>85</v>
      </c>
      <c r="K9" s="34" t="n">
        <f aca="true">IF(H9="Closed",F9-E9,TODAY()-E9)</f>
        <v>15</v>
      </c>
      <c r="L9" s="35"/>
    </row>
    <row r="10" customFormat="false" ht="15" hidden="false" customHeight="true" outlineLevel="0" collapsed="false">
      <c r="A10" s="21" t="s">
        <v>105</v>
      </c>
      <c r="B10" s="22" t="s">
        <v>106</v>
      </c>
      <c r="C10" s="23" t="s">
        <v>107</v>
      </c>
      <c r="D10" s="21" t="s">
        <v>89</v>
      </c>
      <c r="E10" s="24" t="n">
        <v>46083</v>
      </c>
      <c r="F10" s="24" t="n">
        <v>46106</v>
      </c>
      <c r="G10" s="25" t="n">
        <v>8900</v>
      </c>
      <c r="H10" s="36" t="s">
        <v>108</v>
      </c>
      <c r="I10" s="21" t="s">
        <v>101</v>
      </c>
      <c r="J10" s="21" t="s">
        <v>101</v>
      </c>
      <c r="K10" s="27" t="n">
        <f aca="true">IF(H10="Closed",F10-E10,TODAY()-E10)</f>
        <v>41</v>
      </c>
      <c r="L10" s="28"/>
    </row>
    <row r="11" customFormat="false" ht="15" hidden="false" customHeight="true" outlineLevel="0" collapsed="false">
      <c r="A11" s="29" t="s">
        <v>109</v>
      </c>
      <c r="B11" s="30" t="s">
        <v>110</v>
      </c>
      <c r="C11" s="31" t="s">
        <v>111</v>
      </c>
      <c r="D11" s="29" t="s">
        <v>112</v>
      </c>
      <c r="E11" s="32" t="n">
        <v>46091</v>
      </c>
      <c r="F11" s="32" t="n">
        <v>46117</v>
      </c>
      <c r="G11" s="33" t="n">
        <v>6450</v>
      </c>
      <c r="H11" s="37" t="s">
        <v>113</v>
      </c>
      <c r="I11" s="29" t="s">
        <v>101</v>
      </c>
      <c r="J11" s="29" t="s">
        <v>101</v>
      </c>
      <c r="K11" s="34" t="n">
        <f aca="true">IF(H11="Closed",F11-E11,TODAY()-E11)</f>
        <v>33</v>
      </c>
      <c r="L11" s="35"/>
    </row>
    <row r="12" customFormat="false" ht="15" hidden="false" customHeight="true" outlineLevel="0" collapsed="false">
      <c r="A12" s="21" t="s">
        <v>114</v>
      </c>
      <c r="B12" s="22" t="s">
        <v>115</v>
      </c>
      <c r="C12" s="23" t="s">
        <v>116</v>
      </c>
      <c r="D12" s="21" t="s">
        <v>117</v>
      </c>
      <c r="E12" s="24" t="n">
        <v>46101</v>
      </c>
      <c r="F12" s="24" t="n">
        <v>46127</v>
      </c>
      <c r="G12" s="25" t="n">
        <v>3780</v>
      </c>
      <c r="H12" s="37" t="s">
        <v>118</v>
      </c>
      <c r="I12" s="21" t="s">
        <v>101</v>
      </c>
      <c r="J12" s="21" t="s">
        <v>101</v>
      </c>
      <c r="K12" s="27" t="n">
        <f aca="true">IF(H12="Closed",F12-E12,TODAY()-E12)</f>
        <v>23</v>
      </c>
      <c r="L12" s="28"/>
    </row>
    <row r="13" customFormat="false" ht="23.25" hidden="false" customHeight="true" outlineLevel="0" collapsed="false">
      <c r="A13" s="29" t="s">
        <v>119</v>
      </c>
      <c r="B13" s="30" t="s">
        <v>120</v>
      </c>
      <c r="C13" s="31" t="s">
        <v>121</v>
      </c>
      <c r="D13" s="29" t="s">
        <v>89</v>
      </c>
      <c r="E13" s="32" t="n">
        <v>46113</v>
      </c>
      <c r="F13" s="32" t="n">
        <v>46132</v>
      </c>
      <c r="G13" s="33" t="n">
        <v>2250</v>
      </c>
      <c r="H13" s="36" t="s">
        <v>122</v>
      </c>
      <c r="I13" s="29" t="s">
        <v>101</v>
      </c>
      <c r="J13" s="29" t="s">
        <v>101</v>
      </c>
      <c r="K13" s="34" t="n">
        <f aca="true">IF(H13="Closed",F13-E13,TODAY()-E13)</f>
        <v>11</v>
      </c>
      <c r="L13" s="35"/>
    </row>
    <row r="14" customFormat="false" ht="15" hidden="false" customHeight="true" outlineLevel="0" collapsed="false">
      <c r="A14" s="21" t="s">
        <v>123</v>
      </c>
      <c r="B14" s="22" t="s">
        <v>81</v>
      </c>
      <c r="C14" s="23" t="s">
        <v>124</v>
      </c>
      <c r="D14" s="21" t="s">
        <v>83</v>
      </c>
      <c r="E14" s="24" t="n">
        <v>46117</v>
      </c>
      <c r="F14" s="24" t="n">
        <v>46140</v>
      </c>
      <c r="G14" s="25" t="n">
        <v>3990</v>
      </c>
      <c r="H14" s="36" t="s">
        <v>122</v>
      </c>
      <c r="I14" s="21" t="s">
        <v>101</v>
      </c>
      <c r="J14" s="21" t="s">
        <v>101</v>
      </c>
      <c r="K14" s="27" t="n">
        <f aca="true">IF(H14="Closed",F14-E14,TODAY()-E14)</f>
        <v>7</v>
      </c>
      <c r="L14" s="28"/>
    </row>
    <row r="15" customFormat="false" ht="15" hidden="false" customHeight="true" outlineLevel="0" collapsed="false">
      <c r="A15" s="29" t="s">
        <v>125</v>
      </c>
      <c r="B15" s="30" t="s">
        <v>126</v>
      </c>
      <c r="C15" s="31" t="s">
        <v>127</v>
      </c>
      <c r="D15" s="29" t="s">
        <v>93</v>
      </c>
      <c r="E15" s="32" t="n">
        <v>46120</v>
      </c>
      <c r="F15" s="32" t="n">
        <v>46144</v>
      </c>
      <c r="G15" s="33" t="n">
        <v>4400</v>
      </c>
      <c r="H15" s="38" t="s">
        <v>128</v>
      </c>
      <c r="I15" s="29" t="s">
        <v>101</v>
      </c>
      <c r="J15" s="29" t="s">
        <v>101</v>
      </c>
      <c r="K15" s="34" t="n">
        <f aca="true">IF(H15="Closed",F15-E15,TODAY()-E15)</f>
        <v>4</v>
      </c>
      <c r="L15" s="35"/>
    </row>
    <row r="16" customFormat="false" ht="15" hidden="false" customHeight="true" outlineLevel="0" collapsed="false">
      <c r="A16" s="39" t="s">
        <v>129</v>
      </c>
      <c r="B16" s="39"/>
      <c r="C16" s="39"/>
      <c r="D16" s="39"/>
      <c r="E16" s="39"/>
      <c r="F16" s="39"/>
      <c r="G16" s="40" t="n">
        <f aca="false">SUM(G4:G15)</f>
        <v>53870</v>
      </c>
      <c r="H16" s="41"/>
      <c r="I16" s="41"/>
      <c r="J16" s="41"/>
      <c r="K16" s="41"/>
      <c r="L16" s="41"/>
    </row>
  </sheetData>
  <mergeCells count="3">
    <mergeCell ref="A1:L1"/>
    <mergeCell ref="A2:L2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22"/>
  </cols>
  <sheetData>
    <row r="1" customFormat="false" ht="39.75" hidden="false" customHeight="true" outlineLevel="0" collapsed="false">
      <c r="A1" s="20" t="s">
        <v>130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5.75" hidden="false" customHeight="true" outlineLevel="0" collapsed="false">
      <c r="A2" s="3" t="s">
        <v>131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132</v>
      </c>
      <c r="B4" s="4" t="s">
        <v>133</v>
      </c>
      <c r="C4" s="4" t="s">
        <v>134</v>
      </c>
      <c r="D4" s="4" t="s">
        <v>135</v>
      </c>
      <c r="E4" s="4" t="s">
        <v>136</v>
      </c>
      <c r="F4" s="4" t="s">
        <v>137</v>
      </c>
      <c r="G4" s="4" t="s">
        <v>138</v>
      </c>
      <c r="H4" s="4" t="s">
        <v>11</v>
      </c>
    </row>
    <row r="5" customFormat="false" ht="15" hidden="false" customHeight="true" outlineLevel="0" collapsed="false">
      <c r="A5" s="13" t="s">
        <v>139</v>
      </c>
      <c r="B5" s="42" t="n">
        <v>12</v>
      </c>
      <c r="C5" s="42" t="n">
        <v>14</v>
      </c>
      <c r="D5" s="42" t="n">
        <v>11</v>
      </c>
      <c r="E5" s="43" t="n">
        <f aca="false">SUM(B5:D5)</f>
        <v>37</v>
      </c>
      <c r="F5" s="42" t="n">
        <v>40</v>
      </c>
      <c r="G5" s="44" t="n">
        <f aca="false">E5-F5</f>
        <v>-3</v>
      </c>
      <c r="H5" s="45" t="str">
        <f aca="false">IF(G5&gt;=0,"✔ On Track","⚠ Below Target")</f>
        <v>⚠ Below Target</v>
      </c>
    </row>
    <row r="6" customFormat="false" ht="15" hidden="false" customHeight="true" outlineLevel="0" collapsed="false">
      <c r="A6" s="6" t="s">
        <v>140</v>
      </c>
      <c r="B6" s="46" t="n">
        <v>11</v>
      </c>
      <c r="C6" s="46" t="n">
        <v>13</v>
      </c>
      <c r="D6" s="46" t="n">
        <v>9</v>
      </c>
      <c r="E6" s="43" t="n">
        <f aca="false">SUM(B6:D6)</f>
        <v>33</v>
      </c>
      <c r="F6" s="46" t="n">
        <v>36</v>
      </c>
      <c r="G6" s="47" t="n">
        <f aca="false">E6-F6</f>
        <v>-3</v>
      </c>
      <c r="H6" s="48" t="str">
        <f aca="false">IF(G6&gt;=0,"✔ On Track","⚠ Below Target")</f>
        <v>⚠ Below Target</v>
      </c>
    </row>
    <row r="7" customFormat="false" ht="15" hidden="false" customHeight="true" outlineLevel="0" collapsed="false">
      <c r="A7" s="13" t="s">
        <v>141</v>
      </c>
      <c r="B7" s="49" t="n">
        <v>42.5</v>
      </c>
      <c r="C7" s="49" t="n">
        <v>38.2</v>
      </c>
      <c r="D7" s="49" t="n">
        <v>47.1</v>
      </c>
      <c r="E7" s="50" t="n">
        <f aca="false">SUM(B7:D7)</f>
        <v>127.8</v>
      </c>
      <c r="F7" s="42" t="n">
        <v>120</v>
      </c>
      <c r="G7" s="51" t="n">
        <f aca="false">E7-F7</f>
        <v>7.80000000000001</v>
      </c>
      <c r="H7" s="45" t="str">
        <f aca="false">IF(G7&gt;=0,"✔ On Track","⚠ Below Target")</f>
        <v>✔ On Track</v>
      </c>
    </row>
    <row r="8" customFormat="false" ht="15" hidden="false" customHeight="true" outlineLevel="0" collapsed="false">
      <c r="A8" s="6" t="s">
        <v>142</v>
      </c>
      <c r="B8" s="46" t="n">
        <v>0</v>
      </c>
      <c r="C8" s="46" t="n">
        <v>1</v>
      </c>
      <c r="D8" s="46" t="n">
        <v>0</v>
      </c>
      <c r="E8" s="43" t="n">
        <f aca="false">SUM(B8:D8)</f>
        <v>1</v>
      </c>
      <c r="F8" s="46" t="n">
        <v>2</v>
      </c>
      <c r="G8" s="47" t="n">
        <f aca="false">F8-E8</f>
        <v>1</v>
      </c>
      <c r="H8" s="48" t="str">
        <f aca="false">IF(E8&lt;=F8,"✔ On Track","⚠ Review")</f>
        <v>✔ On Track</v>
      </c>
    </row>
    <row r="9" customFormat="false" ht="15" hidden="false" customHeight="true" outlineLevel="0" collapsed="false">
      <c r="A9" s="13" t="s">
        <v>143</v>
      </c>
      <c r="B9" s="42" t="n">
        <v>48</v>
      </c>
      <c r="C9" s="42" t="n">
        <v>50</v>
      </c>
      <c r="D9" s="42" t="n">
        <v>52</v>
      </c>
      <c r="E9" s="43" t="n">
        <f aca="false">MAX(B9:D9)</f>
        <v>52</v>
      </c>
      <c r="F9" s="42" t="n">
        <v>50</v>
      </c>
      <c r="G9" s="44" t="n">
        <f aca="false">E9-F9</f>
        <v>2</v>
      </c>
      <c r="H9" s="45" t="str">
        <f aca="false">IF(G9&gt;=0,"✔ On Track","⚠ Below Target")</f>
        <v>✔ On Track</v>
      </c>
    </row>
    <row r="10" customFormat="false" ht="15" hidden="false" customHeight="true" outlineLevel="0" collapsed="false">
      <c r="A10" s="6" t="s">
        <v>144</v>
      </c>
      <c r="B10" s="46" t="n">
        <v>3</v>
      </c>
      <c r="C10" s="46" t="n">
        <v>5</v>
      </c>
      <c r="D10" s="46" t="n">
        <v>4</v>
      </c>
      <c r="E10" s="43" t="n">
        <f aca="false">SUM(B10:D10)</f>
        <v>12</v>
      </c>
      <c r="F10" s="46" t="n">
        <v>10</v>
      </c>
      <c r="G10" s="47" t="n">
        <f aca="false">E10-F10</f>
        <v>2</v>
      </c>
      <c r="H10" s="48" t="str">
        <f aca="false">IF(G10&gt;=0,"✔ On Track","⚠ Below Target")</f>
        <v>✔ On Track</v>
      </c>
    </row>
    <row r="11" customFormat="false" ht="15" hidden="false" customHeight="true" outlineLevel="0" collapsed="false">
      <c r="A11" s="13" t="s">
        <v>145</v>
      </c>
      <c r="B11" s="52" t="n">
        <v>91.6</v>
      </c>
      <c r="C11" s="52" t="n">
        <v>85.7</v>
      </c>
      <c r="D11" s="52" t="n">
        <v>90.9</v>
      </c>
      <c r="E11" s="53" t="n">
        <f aca="false">AVERAGE(B11:D11)</f>
        <v>89.4</v>
      </c>
      <c r="F11" s="42" t="n">
        <v>90</v>
      </c>
      <c r="G11" s="44" t="n">
        <f aca="false">E11-F11</f>
        <v>-0.600000000000009</v>
      </c>
      <c r="H11" s="45" t="str">
        <f aca="false">IF(G11&gt;=0,"✔ On Track","⚠ Below Target")</f>
        <v>⚠ Below Target</v>
      </c>
    </row>
    <row r="12" customFormat="false" ht="15" hidden="false" customHeight="true" outlineLevel="0" collapsed="false">
      <c r="A12" s="6" t="s">
        <v>146</v>
      </c>
      <c r="B12" s="46" t="n">
        <v>8</v>
      </c>
      <c r="C12" s="46" t="n">
        <v>10</v>
      </c>
      <c r="D12" s="46" t="n">
        <v>9</v>
      </c>
      <c r="E12" s="43" t="n">
        <f aca="false">SUM(B12:D12)</f>
        <v>27</v>
      </c>
      <c r="F12" s="46" t="n">
        <v>25</v>
      </c>
      <c r="G12" s="47" t="n">
        <f aca="false">E12-F12</f>
        <v>2</v>
      </c>
      <c r="H12" s="48" t="str">
        <f aca="false">IF(G12&gt;=0,"✔ On Track","⚠ Below Target")</f>
        <v>✔ On Track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2026-04-12T22:09:27Z</dcterms:created>
  <dc:creator>openpyxl</dc:creator>
  <dc:description/>
  <dc:language>en-US</dc:language>
  <cp:lastModifiedBy/>
  <dcterms:modified xsi:type="dcterms:W3CDTF">2026-04-12T22:09:42Z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