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afety Equipment Tracker" sheetId="1" state="visible" r:id="rId3"/>
    <sheet name="PO Tracker" sheetId="2" state="visible" r:id="rId4"/>
    <sheet name="KPI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<sst xmlns="http://schemas.openxmlformats.org/spreadsheetml/2006/main" count="67" uniqueCount="64">
  <si>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Equipment Name</t>
  </si>
  <si>
    <t xml:space="preserve">Cert Type</t>
  </si>
  <si>
    <t xml:space="preserve">Issue Date</t>
  </si>
  <si>
    <t xml:space="preserve">Expiry Date</t>
  </si>
  <si>
    <t xml:space="preserve">Days Until Expiry</t>
  </si>
  <si>
    <t xml:space="preserve">Status</t>
  </si>
  <si>
    <t xml:space="preserve">Hard Hat - Type A</t>
  </si>
  <si>
    <t xml:space="preserve">ANSI Z89.1</t>
  </si>
  <si>
    <t xml:space="preserve">2022-01-15</t>
  </si>
  <si>
    <t xml:space="preserve">2025-01-15</t>
  </si>
  <si>
    <t xml:space="preserve">Safety Harness</t>
  </si>
  <si>
    <t xml:space="preserve">ANSI A10.14</t>
  </si>
  <si>
    <t xml:space="preserve">2021-06-20</t>
  </si>
  <si>
    <t xml:space="preserve">2024-06-20</t>
  </si>
  <si>
    <t xml:space="preserve">First Aid Kit</t>
  </si>
  <si>
    <t xml:space="preserve">OSHA 1910.151</t>
  </si>
  <si>
    <t xml:space="preserve">2023-03-10</t>
  </si>
  <si>
    <t xml:space="preserve">2026-03-10</t>
  </si>
  <si>
    <t xml:space="preserve">Fire Extinguisher</t>
  </si>
  <si>
    <t xml:space="preserve">NFPA 10</t>
  </si>
  <si>
    <t xml:space="preserve">2023-09-01</t>
  </si>
  <si>
    <t xml:space="preserve">2025-09-01</t>
  </si>
  <si>
    <t xml:space="preserve">Safety Glasses</t>
  </si>
  <si>
    <t xml:space="preserve">ANSI Z87.1</t>
  </si>
  <si>
    <t xml:space="preserve">2024-02-28</t>
  </si>
  <si>
    <t xml:space="preserve">2025-02-28</t>
  </si>
  <si>
    <t xml:space="preserve">Respirator Filter</t>
  </si>
  <si>
    <t xml:space="preserve">NIOSH</t>
  </si>
  <si>
    <t xml:space="preserve">2024-05-12</t>
  </si>
  <si>
    <t xml:space="preserve">2025-05-12</t>
  </si>
  <si>
    <t xml:space="preserve">PO Number</t>
  </si>
  <si>
    <t xml:space="preserve">Vendor Name</t>
  </si>
  <si>
    <t xml:space="preserve">Item Description</t>
  </si>
  <si>
    <t xml:space="preserve">PO Amount</t>
  </si>
  <si>
    <t xml:space="preserve">GRN Amount</t>
  </si>
  <si>
    <t xml:space="preserve">Invoice Amount</t>
  </si>
  <si>
    <t xml:space="preserve">PO-2024-001</t>
  </si>
  <si>
    <t xml:space="preserve">[Vendor A]</t>
  </si>
  <si>
    <t xml:space="preserve">Safety Equipment</t>
  </si>
  <si>
    <t xml:space="preserve">Closed</t>
  </si>
  <si>
    <t xml:space="preserve">PO-2024-002</t>
  </si>
  <si>
    <t xml:space="preserve">[Vendor B]</t>
  </si>
  <si>
    <t xml:space="preserve">Office Supplies</t>
  </si>
  <si>
    <t xml:space="preserve">GRN Pending</t>
  </si>
  <si>
    <t xml:space="preserve">PO-2024-003</t>
  </si>
  <si>
    <t xml:space="preserve">[Vendor C]</t>
  </si>
  <si>
    <t xml:space="preserve">IT Equipment</t>
  </si>
  <si>
    <t xml:space="preserve">Order Pending</t>
  </si>
  <si>
    <t xml:space="preserve">PO-2024-004</t>
  </si>
  <si>
    <t xml:space="preserve">Maintenance Parts</t>
  </si>
  <si>
    <t xml:space="preserve">PO-2024-005</t>
  </si>
  <si>
    <t xml:space="preserve">[Vendor D]</t>
  </si>
  <si>
    <t xml:space="preserve">Tools and Equipment</t>
  </si>
  <si>
    <t xml:space="preserve">Invoice Discrepancy</t>
  </si>
  <si>
    <t xml:space="preserve">OPERATIONS KPI DASHBOARD</t>
  </si>
  <si>
    <t xml:space="preserve">KPI Metric</t>
  </si>
  <si>
    <t xml:space="preserve">Target %</t>
  </si>
  <si>
    <t xml:space="preserve">Actual %</t>
  </si>
  <si>
    <t xml:space="preserve">Variance</t>
  </si>
  <si>
    <t xml:space="preserve">Safety Compliance</t>
  </si>
  <si>
    <t xml:space="preserve">On-Time Delivery</t>
  </si>
  <si>
    <t xml:space="preserve">Cost Variance</t>
  </si>
  <si>
    <t xml:space="preserve">Equipment Uptime</t>
  </si>
  <si>
    <t xml:space="preserve">Staff Efficiency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</si>
</sst>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4" t="s">
        <v>8</v>
      </c>
      <c r="D2" s="4" t="s">
        <v>9</v>
      </c>
      <c r="E2" s="3" t="n">
        <f aca="true">D2-TODAY()</f>
        <v>-460</v>
      </c>
      <c r="F2" s="3" t="str">
        <f aca="false">IF(E2&lt;0,"EXPIRED",IF(E2&lt;30,"EXPIRING SOON","OK"))</f>
        <v>EXPIRED</v>
      </c>
    </row>
    <row r="3" customFormat="false" ht="15" hidden="false" customHeight="false" outlineLevel="0" collapsed="false">
      <c r="A3" s="3" t="s">
        <v>10</v>
      </c>
      <c r="B3" s="3" t="s">
        <v>11</v>
      </c>
      <c r="C3" s="4" t="s">
        <v>12</v>
      </c>
      <c r="D3" s="4" t="s">
        <v>13</v>
      </c>
      <c r="E3" s="3" t="n">
        <f aca="true">D3-TODAY()</f>
        <v>-669</v>
      </c>
      <c r="F3" s="3" t="str">
        <f aca="false">IF(E3&lt;0,"EXPIRED",IF(E3&lt;30,"EXPIRING SOON","OK"))</f>
        <v>EXPIRED</v>
      </c>
    </row>
    <row r="4" customFormat="false" ht="15" hidden="false" customHeight="false" outlineLevel="0" collapsed="false">
      <c r="A4" s="3" t="s">
        <v>14</v>
      </c>
      <c r="B4" s="3" t="s">
        <v>15</v>
      </c>
      <c r="C4" s="4" t="s">
        <v>16</v>
      </c>
      <c r="D4" s="4" t="s">
        <v>17</v>
      </c>
      <c r="E4" s="3" t="n">
        <f aca="true">D4-TODAY()</f>
        <v>-41</v>
      </c>
      <c r="F4" s="3" t="str">
        <f aca="false">IF(E4&lt;0,"EXPIRED",IF(E4&lt;30,"EXPIRING SOON","OK"))</f>
        <v>EXPIRED</v>
      </c>
    </row>
    <row r="5" customFormat="false" ht="15" hidden="false" customHeight="false" outlineLevel="0" collapsed="false">
      <c r="A5" s="3" t="s">
        <v>18</v>
      </c>
      <c r="B5" s="3" t="s">
        <v>19</v>
      </c>
      <c r="C5" s="4" t="s">
        <v>20</v>
      </c>
      <c r="D5" s="4" t="s">
        <v>21</v>
      </c>
      <c r="E5" s="3" t="n">
        <f aca="true">D5-TODAY()</f>
        <v>-231</v>
      </c>
      <c r="F5" s="3" t="str">
        <f aca="false">IF(E5&lt;0,"EXPIRED",IF(E5&lt;30,"EXPIRING SOON","OK"))</f>
        <v>EXPIRED</v>
      </c>
    </row>
    <row r="6" customFormat="false" ht="15" hidden="false" customHeight="false" outlineLevel="0" collapsed="false">
      <c r="A6" s="3" t="s">
        <v>22</v>
      </c>
      <c r="B6" s="3" t="s">
        <v>23</v>
      </c>
      <c r="C6" s="4" t="s">
        <v>24</v>
      </c>
      <c r="D6" s="4" t="s">
        <v>25</v>
      </c>
      <c r="E6" s="3" t="n">
        <f aca="true">D6-TODAY()</f>
        <v>-416</v>
      </c>
      <c r="F6" s="3" t="str">
        <f aca="false">IF(E6&lt;0,"EXPIRED",IF(E6&lt;30,"EXPIRING SOON","OK"))</f>
        <v>EXPIRED</v>
      </c>
    </row>
    <row r="7" customFormat="false" ht="15" hidden="false" customHeight="false" outlineLevel="0" collapsed="false">
      <c r="A7" s="3" t="s">
        <v>26</v>
      </c>
      <c r="B7" s="3" t="s">
        <v>27</v>
      </c>
      <c r="C7" s="4" t="s">
        <v>28</v>
      </c>
      <c r="D7" s="4" t="s">
        <v>29</v>
      </c>
      <c r="E7" s="3" t="n">
        <f aca="true">D7-TODAY()</f>
        <v>-343</v>
      </c>
      <c r="F7" s="3" t="str">
        <f aca="false">IF(E7&lt;0,"EXPIRED",IF(E7&lt;30,"EXPIRING SOON","OK"))</f>
        <v>EXPIRED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2"/>
  </cols>
  <sheetData>
    <row r="1" customFormat="false" ht="15" hidden="false" customHeight="false" outlineLevel="0" collapsed="false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5</v>
      </c>
    </row>
    <row r="2" customFormat="false" ht="15" hidden="false" customHeight="false" outlineLevel="0" collapsed="false">
      <c r="A2" s="1" t="s">
        <v>36</v>
      </c>
      <c r="B2" s="1" t="s">
        <v>37</v>
      </c>
      <c r="C2" s="1" t="s">
        <v>38</v>
      </c>
      <c r="D2" s="5" t="n">
        <v>5000</v>
      </c>
      <c r="E2" s="5" t="n">
        <v>5000</v>
      </c>
      <c r="F2" s="5" t="n">
        <v>5000</v>
      </c>
      <c r="G2" s="6" t="s">
        <v>39</v>
      </c>
    </row>
    <row r="3" customFormat="false" ht="15" hidden="false" customHeight="false" outlineLevel="0" collapsed="false">
      <c r="A3" s="1" t="s">
        <v>40</v>
      </c>
      <c r="B3" s="1" t="s">
        <v>41</v>
      </c>
      <c r="C3" s="1" t="s">
        <v>42</v>
      </c>
      <c r="D3" s="5" t="n">
        <v>2500</v>
      </c>
      <c r="E3" s="5" t="n">
        <v>2500</v>
      </c>
      <c r="F3" s="5" t="n">
        <v>0</v>
      </c>
      <c r="G3" s="6" t="s">
        <v>43</v>
      </c>
    </row>
    <row r="4" customFormat="false" ht="15" hidden="false" customHeight="false" outlineLevel="0" collapsed="false">
      <c r="A4" s="1" t="s">
        <v>44</v>
      </c>
      <c r="B4" s="1" t="s">
        <v>45</v>
      </c>
      <c r="C4" s="1" t="s">
        <v>46</v>
      </c>
      <c r="D4" s="5" t="n">
        <v>15000</v>
      </c>
      <c r="E4" s="5" t="n">
        <v>0</v>
      </c>
      <c r="F4" s="5" t="n">
        <v>0</v>
      </c>
      <c r="G4" s="6" t="s">
        <v>47</v>
      </c>
    </row>
    <row r="5" customFormat="false" ht="15" hidden="false" customHeight="false" outlineLevel="0" collapsed="false">
      <c r="A5" s="1" t="s">
        <v>48</v>
      </c>
      <c r="B5" s="1" t="s">
        <v>37</v>
      </c>
      <c r="C5" s="1" t="s">
        <v>49</v>
      </c>
      <c r="D5" s="5" t="n">
        <v>8750</v>
      </c>
      <c r="E5" s="5" t="n">
        <v>8750</v>
      </c>
      <c r="F5" s="5" t="n">
        <v>8750</v>
      </c>
      <c r="G5" s="6" t="s">
        <v>39</v>
      </c>
    </row>
    <row r="6" customFormat="false" ht="15" hidden="false" customHeight="false" outlineLevel="0" collapsed="false">
      <c r="A6" s="1" t="s">
        <v>50</v>
      </c>
      <c r="B6" s="1" t="s">
        <v>51</v>
      </c>
      <c r="C6" s="1" t="s">
        <v>52</v>
      </c>
      <c r="D6" s="5" t="n">
        <v>12000</v>
      </c>
      <c r="E6" s="5" t="n">
        <v>12000</v>
      </c>
      <c r="F6" s="5" t="n">
        <v>11950</v>
      </c>
      <c r="G6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0" width="11.4"/>
  </cols>
  <sheetData>
    <row r="1" customFormat="false" ht="17.35" hidden="false" customHeight="false" outlineLevel="0" collapsed="false">
      <c r="A1" s="7" t="s">
        <v>54</v>
      </c>
      <c r="B1" s="7"/>
      <c r="C1" s="7"/>
      <c r="D1" s="7"/>
    </row>
    <row r="3" customFormat="false" ht="15" hidden="false" customHeight="false" outlineLevel="0" collapsed="false">
      <c r="A3" s="8" t="s">
        <v>55</v>
      </c>
      <c r="B3" s="8" t="s">
        <v>56</v>
      </c>
      <c r="C3" s="8" t="s">
        <v>57</v>
      </c>
      <c r="D3" s="9" t="s">
        <v>58</v>
      </c>
    </row>
    <row r="4" customFormat="false" ht="15" hidden="false" customHeight="false" outlineLevel="0" collapsed="false">
      <c r="A4" s="1" t="s">
        <v>59</v>
      </c>
      <c r="B4" s="10" t="n">
        <v>0.98</v>
      </c>
      <c r="C4" s="10" t="n">
        <v>0.975</v>
      </c>
      <c r="D4" s="10" t="n">
        <f aca="false">C4-B4</f>
        <v>-0.005</v>
      </c>
    </row>
    <row r="5" customFormat="false" ht="15" hidden="false" customHeight="false" outlineLevel="0" collapsed="false">
      <c r="A5" s="1" t="s">
        <v>60</v>
      </c>
      <c r="B5" s="10" t="n">
        <v>0.95</v>
      </c>
      <c r="C5" s="10" t="n">
        <v>0.942</v>
      </c>
      <c r="D5" s="10" t="n">
        <f aca="false">C5-B5</f>
        <v>-0.0079999999999999</v>
      </c>
    </row>
    <row r="6" customFormat="false" ht="15" hidden="false" customHeight="false" outlineLevel="0" collapsed="false">
      <c r="A6" s="1" t="s">
        <v>61</v>
      </c>
      <c r="B6" s="10" t="n">
        <v>1</v>
      </c>
      <c r="C6" s="10" t="n">
        <v>1.023</v>
      </c>
      <c r="D6" s="10" t="n">
        <f aca="false">C6-B6</f>
        <v>0.0229999999999999</v>
      </c>
    </row>
    <row r="7" customFormat="false" ht="15" hidden="false" customHeight="false" outlineLevel="0" collapsed="false">
      <c r="A7" s="1" t="s">
        <v>62</v>
      </c>
      <c r="B7" s="10" t="n">
        <v>0.96</v>
      </c>
      <c r="C7" s="10" t="n">
        <v>0.958</v>
      </c>
      <c r="D7" s="10" t="n">
        <f aca="false">C7-B7</f>
        <v>-0.002</v>
      </c>
    </row>
    <row r="8" customFormat="false" ht="15" hidden="false" customHeight="false" outlineLevel="0" collapsed="false">
      <c r="A8" s="1" t="s">
        <v>63</v>
      </c>
      <c r="B8" s="10" t="n">
        <v>1</v>
      </c>
      <c r="C8" s="10" t="n">
        <v>1.015</v>
      </c>
      <c r="D8" s="10" t="n">
        <f aca="false">C8-B8</f>
        <v>0.0149999999999999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2026-04-19T19:04:52Z</dcterms:created>
  <dc:creator>openpyxl</dc:creator>
  <dc:description/>
  <dc:language>en-US</dc:language>
  <cp:lastModifiedBy/>
  <dcterms:modified xsi:type="dcterms:W3CDTF">2026-04-20T10:02:54Z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